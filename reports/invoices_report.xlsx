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Tax lines" sheetId="2" state="visible" r:id="rId2"/>
    <sheet name="VAT 303" sheetId="3" state="visible" r:id="rId3"/>
    <sheet name="Suppliers 347" sheetId="4" state="visible" r:id="rId4"/>
    <sheet name="Issues" sheetId="5" state="visible" r:id="rId5"/>
  </sheets>
  <definedNames>
    <definedName name="_xlnm._FilterDatabase" localSheetId="0" hidden="1">'Invoices'!$A$1:$O$19</definedName>
    <definedName name="_xlnm._FilterDatabase" localSheetId="1" hidden="1">'Tax lines'!$A$1:$I$24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&quot; €&quot;;[Red]-#,##0.00&quot; 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165" fontId="0" fillId="4" borderId="0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invoice-to-excel</author>
  </authors>
  <commentList>
    <comment ref="A6" authorId="0" shapeId="0">
      <text>
        <t>Confidence 50%</t>
      </text>
    </comment>
    <comment ref="E9" authorId="0" shapeId="0">
      <text>
        <t>Confidence 40%</t>
      </text>
    </comment>
    <comment ref="F9" authorId="0" shapeId="0">
      <text>
        <t>Confidence 40%</t>
      </text>
    </comment>
    <comment ref="G9" authorId="0" shapeId="0">
      <text>
        <t>Confidence 40%</t>
      </text>
    </comment>
    <comment ref="J9" authorId="0" shapeId="0">
      <text>
        <t>Confidence 40%</t>
      </text>
    </comment>
    <comment ref="A13" authorId="0" shapeId="0">
      <text>
        <t>Confidence 50%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2" customWidth="1" min="11" max="11"/>
    <col width="13" customWidth="1" min="12" max="12"/>
    <col width="28" customWidth="1" min="13" max="13"/>
    <col width="10" customWidth="1" min="14" max="14"/>
    <col width="70" customWidth="1" min="15" max="15"/>
  </cols>
  <sheetData>
    <row r="1" ht="24" customHeight="1">
      <c r="A1" s="1" t="inlineStr">
        <is>
          <t>Supplier</t>
        </is>
      </c>
      <c r="B1" s="1" t="inlineStr">
        <is>
          <t>Tax ID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Net amount</t>
        </is>
      </c>
      <c r="F1" s="1" t="inlineStr">
        <is>
          <t>VAT %</t>
        </is>
      </c>
      <c r="G1" s="1" t="inlineStr">
        <is>
          <t>VAT amount</t>
        </is>
      </c>
      <c r="H1" s="1" t="inlineStr">
        <is>
          <t>Equivalence surcharge</t>
        </is>
      </c>
      <c r="I1" s="1" t="inlineStr">
        <is>
          <t>Withholding (IRPF)</t>
        </is>
      </c>
      <c r="J1" s="1" t="inlineStr">
        <is>
          <t>Total</t>
        </is>
      </c>
      <c r="K1" s="1" t="inlineStr">
        <is>
          <t>Confidence</t>
        </is>
      </c>
      <c r="L1" s="1" t="inlineStr">
        <is>
          <t>Extraction</t>
        </is>
      </c>
      <c r="M1" s="1" t="inlineStr">
        <is>
          <t>Source file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Suministros Ficticios, S.L.</t>
        </is>
      </c>
      <c r="B2" t="inlineStr">
        <is>
          <t>B87654323</t>
        </is>
      </c>
      <c r="C2" t="inlineStr">
        <is>
          <t>2026-001</t>
        </is>
      </c>
      <c r="D2" s="2" t="n">
        <v>46037</v>
      </c>
      <c r="E2" s="3" t="n">
        <v>252.6</v>
      </c>
      <c r="F2" t="inlineStr">
        <is>
          <t>21%</t>
        </is>
      </c>
      <c r="G2" s="3" t="n">
        <v>53.05</v>
      </c>
      <c r="H2" s="3" t="n"/>
      <c r="I2" s="3" t="n"/>
      <c r="J2" s="3" t="n">
        <v>305.65</v>
      </c>
      <c r="K2" s="4" t="n">
        <v>0.908</v>
      </c>
      <c r="L2" t="inlineStr">
        <is>
          <t>rules</t>
        </is>
      </c>
      <c r="M2" t="inlineStr">
        <is>
          <t>supplies_2026-001.pdf</t>
        </is>
      </c>
      <c r="N2" s="5" t="inlineStr">
        <is>
          <t>OK</t>
        </is>
      </c>
      <c r="O2" t="inlineStr"/>
    </row>
    <row r="3">
      <c r="A3" t="inlineStr">
        <is>
          <t>Suministros Ficticios, S.L.</t>
        </is>
      </c>
      <c r="B3" t="inlineStr">
        <is>
          <t>B87654323</t>
        </is>
      </c>
      <c r="C3" t="inlineStr">
        <is>
          <t>2026-014</t>
        </is>
      </c>
      <c r="D3" s="2" t="n">
        <v>46067</v>
      </c>
      <c r="E3" s="3" t="n">
        <v>570</v>
      </c>
      <c r="F3" t="inlineStr">
        <is>
          <t>21%</t>
        </is>
      </c>
      <c r="G3" s="3" t="n">
        <v>119.7</v>
      </c>
      <c r="H3" s="3" t="n"/>
      <c r="I3" s="3" t="n"/>
      <c r="J3" s="3" t="n">
        <v>689.7</v>
      </c>
      <c r="K3" s="4" t="n">
        <v>0.908</v>
      </c>
      <c r="L3" t="inlineStr">
        <is>
          <t>rules</t>
        </is>
      </c>
      <c r="M3" t="inlineStr">
        <is>
          <t>supplies_2026-014.pdf</t>
        </is>
      </c>
      <c r="N3" s="5" t="inlineStr">
        <is>
          <t>OK</t>
        </is>
      </c>
      <c r="O3" t="inlineStr"/>
    </row>
    <row r="4">
      <c r="A4" s="6" t="inlineStr">
        <is>
          <t>Suministros Ficticios, S.L.</t>
        </is>
      </c>
      <c r="B4" s="6" t="inlineStr">
        <is>
          <t>B87654323</t>
        </is>
      </c>
      <c r="C4" s="6" t="inlineStr">
        <is>
          <t>2026-014</t>
        </is>
      </c>
      <c r="D4" s="7" t="n">
        <v>46067</v>
      </c>
      <c r="E4" s="8" t="n">
        <v>570</v>
      </c>
      <c r="F4" s="6" t="inlineStr">
        <is>
          <t>21%</t>
        </is>
      </c>
      <c r="G4" s="8" t="n">
        <v>119.7</v>
      </c>
      <c r="H4" s="8" t="n"/>
      <c r="I4" s="8" t="n"/>
      <c r="J4" s="8" t="n">
        <v>689.7</v>
      </c>
      <c r="K4" s="9" t="n">
        <v>0.908</v>
      </c>
      <c r="L4" s="6" t="inlineStr">
        <is>
          <t>rules</t>
        </is>
      </c>
      <c r="M4" s="6" t="inlineStr">
        <is>
          <t>supplies_2026-014_copy.pdf</t>
        </is>
      </c>
      <c r="N4" s="10" t="inlineStr">
        <is>
          <t>Review</t>
        </is>
      </c>
      <c r="O4" s="6" t="inlineStr">
        <is>
          <t>Possible duplicate invoice (same as supplies_2026-014.pdf)</t>
        </is>
      </c>
    </row>
    <row r="5">
      <c r="A5" t="inlineStr">
        <is>
          <t>Reformas Escaneadas, S.L.</t>
        </is>
      </c>
      <c r="B5" t="inlineStr">
        <is>
          <t>B55443329</t>
        </is>
      </c>
      <c r="C5" t="inlineStr">
        <is>
          <t>R-2026-05</t>
        </is>
      </c>
      <c r="D5" s="2" t="n">
        <v>46083</v>
      </c>
      <c r="E5" s="3" t="n">
        <v>3440</v>
      </c>
      <c r="F5" t="inlineStr">
        <is>
          <t>21%</t>
        </is>
      </c>
      <c r="G5" s="3" t="n">
        <v>722.4</v>
      </c>
      <c r="H5" s="3" t="n"/>
      <c r="I5" s="3" t="n"/>
      <c r="J5" s="3" t="n">
        <v>4162.4</v>
      </c>
      <c r="K5" s="4" t="n">
        <v>0.832</v>
      </c>
      <c r="L5" t="inlineStr">
        <is>
          <t>rules + OCR</t>
        </is>
      </c>
      <c r="M5" t="inlineStr">
        <is>
          <t>renovations_scanned.pdf</t>
        </is>
      </c>
      <c r="N5" s="5" t="inlineStr">
        <is>
          <t>OK</t>
        </is>
      </c>
      <c r="O5" t="inlineStr"/>
    </row>
    <row r="6">
      <c r="A6" s="11" t="inlineStr">
        <is>
          <t>Marta Ficticia Ruiz</t>
        </is>
      </c>
      <c r="B6" t="inlineStr">
        <is>
          <t>12345678Z</t>
        </is>
      </c>
      <c r="C6" t="inlineStr">
        <is>
          <t>F-2026/003</t>
        </is>
      </c>
      <c r="D6" s="2" t="n">
        <v>46096</v>
      </c>
      <c r="E6" s="3" t="n">
        <v>1650</v>
      </c>
      <c r="F6" t="inlineStr">
        <is>
          <t>21%</t>
        </is>
      </c>
      <c r="G6" s="3" t="n">
        <v>346.5</v>
      </c>
      <c r="H6" s="3" t="n"/>
      <c r="I6" s="3" t="n">
        <v>247.5</v>
      </c>
      <c r="J6" s="3" t="n">
        <v>1749</v>
      </c>
      <c r="K6" s="4" t="n">
        <v>0.85</v>
      </c>
      <c r="L6" t="inlineStr">
        <is>
          <t>rules</t>
        </is>
      </c>
      <c r="M6" t="inlineStr">
        <is>
          <t>marta_design_03.pdf</t>
        </is>
      </c>
      <c r="N6" s="5" t="inlineStr">
        <is>
          <t>OK</t>
        </is>
      </c>
      <c r="O6" t="inlineStr"/>
    </row>
    <row r="7">
      <c r="A7" t="inlineStr">
        <is>
          <t>Suministros Ficticios, S.L.</t>
        </is>
      </c>
      <c r="B7" t="inlineStr">
        <is>
          <t>B87654323</t>
        </is>
      </c>
      <c r="C7" t="inlineStr">
        <is>
          <t>2026-027</t>
        </is>
      </c>
      <c r="D7" s="2" t="n">
        <v>46111</v>
      </c>
      <c r="E7" s="3" t="n">
        <v>460</v>
      </c>
      <c r="F7" t="inlineStr">
        <is>
          <t>21%</t>
        </is>
      </c>
      <c r="G7" s="3" t="n">
        <v>96.59999999999999</v>
      </c>
      <c r="H7" s="3" t="n"/>
      <c r="I7" s="3" t="n"/>
      <c r="J7" s="3" t="n">
        <v>556.6</v>
      </c>
      <c r="K7" s="4" t="n">
        <v>0.908</v>
      </c>
      <c r="L7" t="inlineStr">
        <is>
          <t>rules</t>
        </is>
      </c>
      <c r="M7" t="inlineStr">
        <is>
          <t>supplies_2026-027.pdf</t>
        </is>
      </c>
      <c r="N7" s="5" t="inlineStr">
        <is>
          <t>OK</t>
        </is>
      </c>
      <c r="O7" t="inlineStr"/>
    </row>
    <row r="8">
      <c r="A8" t="inlineStr">
        <is>
          <t>Papelería Imaginaria, S.A.</t>
        </is>
      </c>
      <c r="B8" t="inlineStr">
        <is>
          <t>A24681355</t>
        </is>
      </c>
      <c r="C8" t="inlineStr">
        <is>
          <t>2026/0031</t>
        </is>
      </c>
      <c r="D8" s="2" t="n">
        <v>46115</v>
      </c>
      <c r="E8" s="3" t="n">
        <v>400.2</v>
      </c>
      <c r="F8" t="inlineStr">
        <is>
          <t>4%</t>
        </is>
      </c>
      <c r="G8" s="3" t="n">
        <v>16.01</v>
      </c>
      <c r="H8" s="3" t="n"/>
      <c r="I8" s="3" t="n"/>
      <c r="J8" s="3" t="n">
        <v>416.21</v>
      </c>
      <c r="K8" s="4" t="n">
        <v>0.908</v>
      </c>
      <c r="L8" t="inlineStr">
        <is>
          <t>rules</t>
        </is>
      </c>
      <c r="M8" t="inlineStr">
        <is>
          <t>stationery_F0031.pdf</t>
        </is>
      </c>
      <c r="N8" s="5" t="inlineStr">
        <is>
          <t>OK</t>
        </is>
      </c>
      <c r="O8" t="inlineStr"/>
    </row>
    <row r="9">
      <c r="A9" s="6" t="inlineStr">
        <is>
          <t>Suministros Ficticios, S.L.</t>
        </is>
      </c>
      <c r="B9" s="6" t="inlineStr">
        <is>
          <t>B87654323</t>
        </is>
      </c>
      <c r="C9" s="6" t="inlineStr">
        <is>
          <t>2026-031</t>
        </is>
      </c>
      <c r="D9" s="7" t="n">
        <v>46121</v>
      </c>
      <c r="E9" s="12" t="n">
        <v>396</v>
      </c>
      <c r="F9" s="11" t="inlineStr">
        <is>
          <t>21%</t>
        </is>
      </c>
      <c r="G9" s="12" t="n">
        <v>83.16</v>
      </c>
      <c r="H9" s="8" t="n"/>
      <c r="I9" s="8" t="n"/>
      <c r="J9" s="12" t="n">
        <v>489.16</v>
      </c>
      <c r="K9" s="9" t="n">
        <v>0.593</v>
      </c>
      <c r="L9" s="6" t="inlineStr">
        <is>
          <t>rules</t>
        </is>
      </c>
      <c r="M9" s="6" t="inlineStr">
        <is>
          <t>supplies_2026-031.pdf</t>
        </is>
      </c>
      <c r="N9" s="10" t="inlineStr">
        <is>
          <t>Review</t>
        </is>
      </c>
      <c r="O9" s="6" t="inlineStr">
        <is>
          <t>Total does not add up: net + VAT - IRPF = 479.16, the invoice states 489.16 (difference +10.00)</t>
        </is>
      </c>
    </row>
    <row r="10">
      <c r="A10" t="inlineStr">
        <is>
          <t>Talleres Inventados, S.L.</t>
        </is>
      </c>
      <c r="B10" t="inlineStr">
        <is>
          <t>B13579248</t>
        </is>
      </c>
      <c r="C10" t="inlineStr">
        <is>
          <t>A-1042</t>
        </is>
      </c>
      <c r="D10" s="2" t="n">
        <v>46140</v>
      </c>
      <c r="E10" s="3" t="n">
        <v>1150</v>
      </c>
      <c r="F10" t="inlineStr">
        <is>
          <t>21%</t>
        </is>
      </c>
      <c r="G10" s="3" t="n">
        <v>241.5</v>
      </c>
      <c r="H10" s="3" t="n"/>
      <c r="I10" s="3" t="n"/>
      <c r="J10" s="3" t="n">
        <v>1391.5</v>
      </c>
      <c r="K10" s="4" t="n">
        <v>0.908</v>
      </c>
      <c r="L10" t="inlineStr">
        <is>
          <t>rules</t>
        </is>
      </c>
      <c r="M10" t="inlineStr">
        <is>
          <t>workshop_A-1042.pdf</t>
        </is>
      </c>
      <c r="N10" s="5" t="inlineStr">
        <is>
          <t>OK</t>
        </is>
      </c>
      <c r="O10" t="inlineStr"/>
    </row>
    <row r="11">
      <c r="A11" t="inlineStr">
        <is>
          <t>Consultoría Falsa, S.L.P.</t>
        </is>
      </c>
      <c r="B11" t="inlineStr">
        <is>
          <t>B99887762</t>
        </is>
      </c>
      <c r="C11" t="inlineStr">
        <is>
          <t>C-2026/012</t>
        </is>
      </c>
      <c r="D11" s="2" t="n">
        <v>46150</v>
      </c>
      <c r="E11" s="3" t="n">
        <v>1710</v>
      </c>
      <c r="F11" t="inlineStr">
        <is>
          <t>21%</t>
        </is>
      </c>
      <c r="G11" s="3" t="n">
        <v>359.1</v>
      </c>
      <c r="H11" s="3" t="n"/>
      <c r="I11" s="3" t="n">
        <v>119.7</v>
      </c>
      <c r="J11" s="3" t="n">
        <v>1949.4</v>
      </c>
      <c r="K11" s="4" t="n">
        <v>0.908</v>
      </c>
      <c r="L11" t="inlineStr">
        <is>
          <t>rules</t>
        </is>
      </c>
      <c r="M11" t="inlineStr">
        <is>
          <t>consulting_2026-12.pdf</t>
        </is>
      </c>
      <c r="N11" s="5" t="inlineStr">
        <is>
          <t>OK</t>
        </is>
      </c>
      <c r="O11" t="inlineStr"/>
    </row>
    <row r="12">
      <c r="A12" t="inlineStr">
        <is>
          <t>Papelería Imaginaria, S.A.</t>
        </is>
      </c>
      <c r="B12" t="inlineStr">
        <is>
          <t>A24681355</t>
        </is>
      </c>
      <c r="C12" t="inlineStr">
        <is>
          <t>2026/0058</t>
        </is>
      </c>
      <c r="D12" s="2" t="n">
        <v>46162</v>
      </c>
      <c r="E12" s="3" t="n">
        <v>1285.9</v>
      </c>
      <c r="F12" t="inlineStr">
        <is>
          <t>10%</t>
        </is>
      </c>
      <c r="G12" s="3" t="n">
        <v>128.59</v>
      </c>
      <c r="H12" s="3" t="n"/>
      <c r="I12" s="3" t="n"/>
      <c r="J12" s="3" t="n">
        <v>1414.49</v>
      </c>
      <c r="K12" s="4" t="n">
        <v>0.908</v>
      </c>
      <c r="L12" t="inlineStr">
        <is>
          <t>rules</t>
        </is>
      </c>
      <c r="M12" t="inlineStr">
        <is>
          <t>stationery_F0058.pdf</t>
        </is>
      </c>
      <c r="N12" s="5" t="inlineStr">
        <is>
          <t>OK</t>
        </is>
      </c>
      <c r="O12" t="inlineStr"/>
    </row>
    <row r="13">
      <c r="A13" s="11" t="inlineStr">
        <is>
          <t>Marta Ficticia Ruiz</t>
        </is>
      </c>
      <c r="B13" t="inlineStr">
        <is>
          <t>12345678Z</t>
        </is>
      </c>
      <c r="C13" t="inlineStr">
        <is>
          <t>F-2026/007</t>
        </is>
      </c>
      <c r="D13" s="2" t="n">
        <v>46178</v>
      </c>
      <c r="E13" s="3" t="n">
        <v>2300</v>
      </c>
      <c r="F13" t="inlineStr">
        <is>
          <t>21%</t>
        </is>
      </c>
      <c r="G13" s="3" t="n">
        <v>483</v>
      </c>
      <c r="H13" s="3" t="n"/>
      <c r="I13" s="3" t="n">
        <v>345</v>
      </c>
      <c r="J13" s="3" t="n">
        <v>2438</v>
      </c>
      <c r="K13" s="4" t="n">
        <v>0.85</v>
      </c>
      <c r="L13" t="inlineStr">
        <is>
          <t>rules</t>
        </is>
      </c>
      <c r="M13" t="inlineStr">
        <is>
          <t>marta_design_07.pdf</t>
        </is>
      </c>
      <c r="N13" s="5" t="inlineStr">
        <is>
          <t>OK</t>
        </is>
      </c>
      <c r="O13" t="inlineStr"/>
    </row>
    <row r="14">
      <c r="A14" t="inlineStr">
        <is>
          <t>Talleres Inventados, S.L.</t>
        </is>
      </c>
      <c r="B14" t="inlineStr">
        <is>
          <t>B13579248</t>
        </is>
      </c>
      <c r="C14" t="inlineStr">
        <is>
          <t>A-1077</t>
        </is>
      </c>
      <c r="D14" s="2" t="n">
        <v>46185</v>
      </c>
      <c r="E14" s="3" t="n">
        <v>1860.5</v>
      </c>
      <c r="F14" t="inlineStr">
        <is>
          <t>21%</t>
        </is>
      </c>
      <c r="G14" s="3" t="n">
        <v>390.71</v>
      </c>
      <c r="H14" s="3" t="n"/>
      <c r="I14" s="3" t="n"/>
      <c r="J14" s="3" t="n">
        <v>2251.21</v>
      </c>
      <c r="K14" s="4" t="n">
        <v>0.908</v>
      </c>
      <c r="L14" t="inlineStr">
        <is>
          <t>rules</t>
        </is>
      </c>
      <c r="M14" t="inlineStr">
        <is>
          <t>workshop_A-1077.pdf</t>
        </is>
      </c>
      <c r="N14" s="5" t="inlineStr">
        <is>
          <t>OK</t>
        </is>
      </c>
      <c r="O14" t="inlineStr"/>
    </row>
    <row r="15">
      <c r="A15" t="inlineStr">
        <is>
          <t>Papelería Imaginaria, S.A.</t>
        </is>
      </c>
      <c r="B15" t="inlineStr">
        <is>
          <t>A24681355</t>
        </is>
      </c>
      <c r="C15" t="inlineStr">
        <is>
          <t>2026/0077</t>
        </is>
      </c>
      <c r="D15" s="2" t="n">
        <v>46212</v>
      </c>
      <c r="E15" s="3" t="n">
        <v>1269</v>
      </c>
      <c r="F15" t="inlineStr">
        <is>
          <t>21% + 10% + 4%</t>
        </is>
      </c>
      <c r="G15" s="3" t="n">
        <v>119.7</v>
      </c>
      <c r="H15" s="3" t="n"/>
      <c r="I15" s="3" t="n"/>
      <c r="J15" s="3" t="n">
        <v>1388.7</v>
      </c>
      <c r="K15" s="4" t="n">
        <v>0.908</v>
      </c>
      <c r="L15" t="inlineStr">
        <is>
          <t>rules</t>
        </is>
      </c>
      <c r="M15" t="inlineStr">
        <is>
          <t>stationery_F0077_multi.pdf</t>
        </is>
      </c>
      <c r="N15" s="5" t="inlineStr">
        <is>
          <t>OK</t>
        </is>
      </c>
      <c r="O15" t="inlineStr"/>
    </row>
    <row r="16">
      <c r="A16" t="inlineStr">
        <is>
          <t>Ferretería Ficticia, S.L.</t>
        </is>
      </c>
      <c r="B16" t="inlineStr">
        <is>
          <t>B22334452</t>
        </is>
      </c>
      <c r="C16" t="inlineStr">
        <is>
          <t>F-2026-0118</t>
        </is>
      </c>
      <c r="D16" s="2" t="n">
        <v>46224</v>
      </c>
      <c r="E16" s="3" t="n">
        <v>698</v>
      </c>
      <c r="F16" t="inlineStr">
        <is>
          <t>21% + 10%</t>
        </is>
      </c>
      <c r="G16" s="3" t="n">
        <v>100.38</v>
      </c>
      <c r="H16" s="3" t="n"/>
      <c r="I16" s="3" t="n"/>
      <c r="J16" s="3" t="n">
        <v>798.38</v>
      </c>
      <c r="K16" s="4" t="n">
        <v>0.908</v>
      </c>
      <c r="L16" t="inlineStr">
        <is>
          <t>rules</t>
        </is>
      </c>
      <c r="M16" t="inlineStr">
        <is>
          <t>hardware_F-2026-0118.pdf</t>
        </is>
      </c>
      <c r="N16" s="5" t="inlineStr">
        <is>
          <t>OK</t>
        </is>
      </c>
      <c r="O16" t="inlineStr"/>
    </row>
    <row r="17">
      <c r="A17" t="inlineStr">
        <is>
          <t>Distribuciones Imaginarias, S.A.</t>
        </is>
      </c>
      <c r="B17" t="inlineStr">
        <is>
          <t>A31415920</t>
        </is>
      </c>
      <c r="C17" t="inlineStr">
        <is>
          <t>B-5521</t>
        </is>
      </c>
      <c r="D17" s="2" t="n">
        <v>46251</v>
      </c>
      <c r="E17" s="3" t="n">
        <v>722</v>
      </c>
      <c r="F17" t="inlineStr">
        <is>
          <t>21% + 10%</t>
        </is>
      </c>
      <c r="G17" s="3" t="n">
        <v>104.1</v>
      </c>
      <c r="H17" s="3" t="n">
        <v>21.13</v>
      </c>
      <c r="I17" s="3" t="n"/>
      <c r="J17" s="3" t="n">
        <v>847.23</v>
      </c>
      <c r="K17" s="4" t="n">
        <v>0.908</v>
      </c>
      <c r="L17" t="inlineStr">
        <is>
          <t>rules</t>
        </is>
      </c>
      <c r="M17" t="inlineStr">
        <is>
          <t>wholesale_B-5521.pdf</t>
        </is>
      </c>
      <c r="N17" s="5" t="inlineStr">
        <is>
          <t>OK</t>
        </is>
      </c>
      <c r="O17" t="inlineStr"/>
    </row>
    <row r="18">
      <c r="A18" t="inlineStr">
        <is>
          <t>Distribuciones Imaginarias, S.A.</t>
        </is>
      </c>
      <c r="B18" t="inlineStr">
        <is>
          <t>A31415920</t>
        </is>
      </c>
      <c r="C18" t="inlineStr">
        <is>
          <t>B-5598</t>
        </is>
      </c>
      <c r="D18" s="2" t="n">
        <v>46283</v>
      </c>
      <c r="E18" s="3" t="n">
        <v>342</v>
      </c>
      <c r="F18" t="inlineStr">
        <is>
          <t>21%</t>
        </is>
      </c>
      <c r="G18" s="3" t="n">
        <v>71.81999999999999</v>
      </c>
      <c r="H18" s="3" t="n">
        <v>17.78</v>
      </c>
      <c r="I18" s="3" t="n"/>
      <c r="J18" s="3" t="n">
        <v>431.6</v>
      </c>
      <c r="K18" s="4" t="n">
        <v>0.908</v>
      </c>
      <c r="L18" t="inlineStr">
        <is>
          <t>rules</t>
        </is>
      </c>
      <c r="M18" t="inlineStr">
        <is>
          <t>wholesale_B-5598.pdf</t>
        </is>
      </c>
      <c r="N18" s="5" t="inlineStr">
        <is>
          <t>OK</t>
        </is>
      </c>
      <c r="O18" t="inlineStr"/>
    </row>
    <row r="19">
      <c r="A19" t="inlineStr">
        <is>
          <t>Ferretería Ficticia, S.L.</t>
        </is>
      </c>
      <c r="B19" t="inlineStr">
        <is>
          <t>B22334452</t>
        </is>
      </c>
      <c r="C19" t="inlineStr">
        <is>
          <t>F-2026-0204</t>
        </is>
      </c>
      <c r="D19" s="2" t="n">
        <v>46300</v>
      </c>
      <c r="E19" s="3" t="n">
        <v>1106</v>
      </c>
      <c r="F19" t="inlineStr">
        <is>
          <t>21% + 10%</t>
        </is>
      </c>
      <c r="G19" s="3" t="n">
        <v>124.46</v>
      </c>
      <c r="H19" s="3" t="n"/>
      <c r="I19" s="3" t="n"/>
      <c r="J19" s="3" t="n">
        <v>1230.46</v>
      </c>
      <c r="K19" s="4" t="n">
        <v>0.908</v>
      </c>
      <c r="L19" t="inlineStr">
        <is>
          <t>rules</t>
        </is>
      </c>
      <c r="M19" t="inlineStr">
        <is>
          <t>hardware_F-2026-0204.pdf</t>
        </is>
      </c>
      <c r="N19" s="5" t="inlineStr">
        <is>
          <t>OK</t>
        </is>
      </c>
      <c r="O19" t="inlineStr"/>
    </row>
    <row r="21">
      <c r="A21" s="13" t="inlineStr">
        <is>
          <t>TOTAL (visible rows)</t>
        </is>
      </c>
      <c r="B21" s="14" t="n"/>
      <c r="C21" s="14" t="n"/>
      <c r="D21" s="14" t="n"/>
      <c r="E21" s="15">
        <f>SUBTOTAL(109,E2:E19)</f>
        <v/>
      </c>
      <c r="F21" s="14" t="n"/>
      <c r="G21" s="15">
        <f>SUBTOTAL(109,G2:G19)</f>
        <v/>
      </c>
      <c r="H21" s="15">
        <f>SUBTOTAL(109,H2:H19)</f>
        <v/>
      </c>
      <c r="I21" s="15">
        <f>SUBTOTAL(109,I2:I19)</f>
        <v/>
      </c>
      <c r="J21" s="15">
        <f>SUBTOTAL(109,J2:J19)</f>
        <v/>
      </c>
    </row>
    <row r="23">
      <c r="A23" s="6" t="inlineStr">
        <is>
          <t>Red row: needs review</t>
        </is>
      </c>
    </row>
    <row r="24">
      <c r="A24" s="11" t="inlineStr">
        <is>
          <t>Amber cell: field confidence below 70%</t>
        </is>
      </c>
    </row>
  </sheetData>
  <autoFilter ref="A1:O1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  <col width="14" customWidth="1" min="8" max="8"/>
    <col width="28" customWidth="1" min="9" max="9"/>
  </cols>
  <sheetData>
    <row r="1" ht="24" customHeight="1">
      <c r="A1" s="1" t="inlineStr">
        <is>
          <t>Supplier</t>
        </is>
      </c>
      <c r="B1" s="1" t="inlineStr">
        <is>
          <t>Invoice no.</t>
        </is>
      </c>
      <c r="C1" s="1" t="inlineStr">
        <is>
          <t>Date</t>
        </is>
      </c>
      <c r="D1" s="1" t="inlineStr">
        <is>
          <t>VAT %</t>
        </is>
      </c>
      <c r="E1" s="1" t="inlineStr">
        <is>
          <t>Net amount</t>
        </is>
      </c>
      <c r="F1" s="1" t="inlineStr">
        <is>
          <t>VAT amount</t>
        </is>
      </c>
      <c r="G1" s="1" t="inlineStr">
        <is>
          <t>Surcharge %</t>
        </is>
      </c>
      <c r="H1" s="1" t="inlineStr">
        <is>
          <t>Surcharge</t>
        </is>
      </c>
      <c r="I1" s="1" t="inlineStr">
        <is>
          <t>Source file</t>
        </is>
      </c>
    </row>
    <row r="2">
      <c r="A2" t="inlineStr">
        <is>
          <t>Suministros Ficticios, S.L.</t>
        </is>
      </c>
      <c r="B2" t="inlineStr">
        <is>
          <t>2026-001</t>
        </is>
      </c>
      <c r="C2" s="2" t="n">
        <v>46037</v>
      </c>
      <c r="D2" t="inlineStr">
        <is>
          <t>21%</t>
        </is>
      </c>
      <c r="E2" s="3" t="n">
        <v>252.6</v>
      </c>
      <c r="F2" s="3" t="n">
        <v>53.05</v>
      </c>
      <c r="H2" s="3" t="n"/>
      <c r="I2" t="inlineStr">
        <is>
          <t>supplies_2026-001.pdf</t>
        </is>
      </c>
    </row>
    <row r="3">
      <c r="A3" t="inlineStr">
        <is>
          <t>Suministros Ficticios, S.L.</t>
        </is>
      </c>
      <c r="B3" t="inlineStr">
        <is>
          <t>2026-014</t>
        </is>
      </c>
      <c r="C3" s="2" t="n">
        <v>46067</v>
      </c>
      <c r="D3" t="inlineStr">
        <is>
          <t>21%</t>
        </is>
      </c>
      <c r="E3" s="3" t="n">
        <v>570</v>
      </c>
      <c r="F3" s="3" t="n">
        <v>119.7</v>
      </c>
      <c r="H3" s="3" t="n"/>
      <c r="I3" t="inlineStr">
        <is>
          <t>supplies_2026-014.pdf</t>
        </is>
      </c>
    </row>
    <row r="4">
      <c r="A4" t="inlineStr">
        <is>
          <t>Suministros Ficticios, S.L.</t>
        </is>
      </c>
      <c r="B4" t="inlineStr">
        <is>
          <t>2026-014</t>
        </is>
      </c>
      <c r="C4" s="2" t="n">
        <v>46067</v>
      </c>
      <c r="D4" t="inlineStr">
        <is>
          <t>21%</t>
        </is>
      </c>
      <c r="E4" s="3" t="n">
        <v>570</v>
      </c>
      <c r="F4" s="3" t="n">
        <v>119.7</v>
      </c>
      <c r="H4" s="3" t="n"/>
      <c r="I4" t="inlineStr">
        <is>
          <t>supplies_2026-014_copy.pdf</t>
        </is>
      </c>
    </row>
    <row r="5">
      <c r="A5" t="inlineStr">
        <is>
          <t>Reformas Escaneadas, S.L.</t>
        </is>
      </c>
      <c r="B5" t="inlineStr">
        <is>
          <t>R-2026-05</t>
        </is>
      </c>
      <c r="C5" s="2" t="n">
        <v>46083</v>
      </c>
      <c r="D5" t="inlineStr">
        <is>
          <t>21%</t>
        </is>
      </c>
      <c r="E5" s="3" t="n">
        <v>3440</v>
      </c>
      <c r="F5" s="3" t="n">
        <v>722.4</v>
      </c>
      <c r="H5" s="3" t="n"/>
      <c r="I5" t="inlineStr">
        <is>
          <t>renovations_scanned.pdf</t>
        </is>
      </c>
    </row>
    <row r="6">
      <c r="A6" t="inlineStr">
        <is>
          <t>Marta Ficticia Ruiz</t>
        </is>
      </c>
      <c r="B6" t="inlineStr">
        <is>
          <t>F-2026/003</t>
        </is>
      </c>
      <c r="C6" s="2" t="n">
        <v>46096</v>
      </c>
      <c r="D6" t="inlineStr">
        <is>
          <t>21%</t>
        </is>
      </c>
      <c r="E6" s="3" t="n">
        <v>1650</v>
      </c>
      <c r="F6" s="3" t="n">
        <v>346.5</v>
      </c>
      <c r="H6" s="3" t="n"/>
      <c r="I6" t="inlineStr">
        <is>
          <t>marta_design_03.pdf</t>
        </is>
      </c>
    </row>
    <row r="7">
      <c r="A7" t="inlineStr">
        <is>
          <t>Suministros Ficticios, S.L.</t>
        </is>
      </c>
      <c r="B7" t="inlineStr">
        <is>
          <t>2026-027</t>
        </is>
      </c>
      <c r="C7" s="2" t="n">
        <v>46111</v>
      </c>
      <c r="D7" t="inlineStr">
        <is>
          <t>21%</t>
        </is>
      </c>
      <c r="E7" s="3" t="n">
        <v>460</v>
      </c>
      <c r="F7" s="3" t="n">
        <v>96.59999999999999</v>
      </c>
      <c r="H7" s="3" t="n"/>
      <c r="I7" t="inlineStr">
        <is>
          <t>supplies_2026-027.pdf</t>
        </is>
      </c>
    </row>
    <row r="8">
      <c r="A8" t="inlineStr">
        <is>
          <t>Papelería Imaginaria, S.A.</t>
        </is>
      </c>
      <c r="B8" t="inlineStr">
        <is>
          <t>2026/0031</t>
        </is>
      </c>
      <c r="C8" s="2" t="n">
        <v>46115</v>
      </c>
      <c r="D8" t="inlineStr">
        <is>
          <t>4%</t>
        </is>
      </c>
      <c r="E8" s="3" t="n">
        <v>400.2</v>
      </c>
      <c r="F8" s="3" t="n">
        <v>16.01</v>
      </c>
      <c r="H8" s="3" t="n"/>
      <c r="I8" t="inlineStr">
        <is>
          <t>stationery_F0031.pdf</t>
        </is>
      </c>
    </row>
    <row r="9">
      <c r="A9" t="inlineStr">
        <is>
          <t>Suministros Ficticios, S.L.</t>
        </is>
      </c>
      <c r="B9" t="inlineStr">
        <is>
          <t>2026-031</t>
        </is>
      </c>
      <c r="C9" s="2" t="n">
        <v>46121</v>
      </c>
      <c r="D9" t="inlineStr">
        <is>
          <t>21%</t>
        </is>
      </c>
      <c r="E9" s="3" t="n">
        <v>396</v>
      </c>
      <c r="F9" s="3" t="n">
        <v>83.16</v>
      </c>
      <c r="H9" s="3" t="n"/>
      <c r="I9" t="inlineStr">
        <is>
          <t>supplies_2026-031.pdf</t>
        </is>
      </c>
    </row>
    <row r="10">
      <c r="A10" t="inlineStr">
        <is>
          <t>Talleres Inventados, S.L.</t>
        </is>
      </c>
      <c r="B10" t="inlineStr">
        <is>
          <t>A-1042</t>
        </is>
      </c>
      <c r="C10" s="2" t="n">
        <v>46140</v>
      </c>
      <c r="D10" t="inlineStr">
        <is>
          <t>21%</t>
        </is>
      </c>
      <c r="E10" s="3" t="n">
        <v>1150</v>
      </c>
      <c r="F10" s="3" t="n">
        <v>241.5</v>
      </c>
      <c r="H10" s="3" t="n"/>
      <c r="I10" t="inlineStr">
        <is>
          <t>workshop_A-1042.pdf</t>
        </is>
      </c>
    </row>
    <row r="11">
      <c r="A11" t="inlineStr">
        <is>
          <t>Consultoría Falsa, S.L.P.</t>
        </is>
      </c>
      <c r="B11" t="inlineStr">
        <is>
          <t>C-2026/012</t>
        </is>
      </c>
      <c r="C11" s="2" t="n">
        <v>46150</v>
      </c>
      <c r="D11" t="inlineStr">
        <is>
          <t>21%</t>
        </is>
      </c>
      <c r="E11" s="3" t="n">
        <v>1710</v>
      </c>
      <c r="F11" s="3" t="n">
        <v>359.1</v>
      </c>
      <c r="H11" s="3" t="n"/>
      <c r="I11" t="inlineStr">
        <is>
          <t>consulting_2026-12.pdf</t>
        </is>
      </c>
    </row>
    <row r="12">
      <c r="A12" t="inlineStr">
        <is>
          <t>Papelería Imaginaria, S.A.</t>
        </is>
      </c>
      <c r="B12" t="inlineStr">
        <is>
          <t>2026/0058</t>
        </is>
      </c>
      <c r="C12" s="2" t="n">
        <v>46162</v>
      </c>
      <c r="D12" t="inlineStr">
        <is>
          <t>10%</t>
        </is>
      </c>
      <c r="E12" s="3" t="n">
        <v>1285.9</v>
      </c>
      <c r="F12" s="3" t="n">
        <v>128.59</v>
      </c>
      <c r="H12" s="3" t="n"/>
      <c r="I12" t="inlineStr">
        <is>
          <t>stationery_F0058.pdf</t>
        </is>
      </c>
    </row>
    <row r="13">
      <c r="A13" t="inlineStr">
        <is>
          <t>Marta Ficticia Ruiz</t>
        </is>
      </c>
      <c r="B13" t="inlineStr">
        <is>
          <t>F-2026/007</t>
        </is>
      </c>
      <c r="C13" s="2" t="n">
        <v>46178</v>
      </c>
      <c r="D13" t="inlineStr">
        <is>
          <t>21%</t>
        </is>
      </c>
      <c r="E13" s="3" t="n">
        <v>2300</v>
      </c>
      <c r="F13" s="3" t="n">
        <v>483</v>
      </c>
      <c r="H13" s="3" t="n"/>
      <c r="I13" t="inlineStr">
        <is>
          <t>marta_design_07.pdf</t>
        </is>
      </c>
    </row>
    <row r="14">
      <c r="A14" t="inlineStr">
        <is>
          <t>Talleres Inventados, S.L.</t>
        </is>
      </c>
      <c r="B14" t="inlineStr">
        <is>
          <t>A-1077</t>
        </is>
      </c>
      <c r="C14" s="2" t="n">
        <v>46185</v>
      </c>
      <c r="D14" t="inlineStr">
        <is>
          <t>21%</t>
        </is>
      </c>
      <c r="E14" s="3" t="n">
        <v>1860.5</v>
      </c>
      <c r="F14" s="3" t="n">
        <v>390.71</v>
      </c>
      <c r="H14" s="3" t="n"/>
      <c r="I14" t="inlineStr">
        <is>
          <t>workshop_A-1077.pdf</t>
        </is>
      </c>
    </row>
    <row r="15">
      <c r="A15" t="inlineStr">
        <is>
          <t>Papelería Imaginaria, S.A.</t>
        </is>
      </c>
      <c r="B15" t="inlineStr">
        <is>
          <t>2026/0077</t>
        </is>
      </c>
      <c r="C15" s="2" t="n">
        <v>46212</v>
      </c>
      <c r="D15" t="inlineStr">
        <is>
          <t>21%</t>
        </is>
      </c>
      <c r="E15" s="3" t="n">
        <v>342</v>
      </c>
      <c r="F15" s="3" t="n">
        <v>71.81999999999999</v>
      </c>
      <c r="H15" s="3" t="n"/>
      <c r="I15" t="inlineStr">
        <is>
          <t>stationery_F0077_multi.pdf</t>
        </is>
      </c>
    </row>
    <row r="16">
      <c r="A16" t="inlineStr">
        <is>
          <t>Papelería Imaginaria, S.A.</t>
        </is>
      </c>
      <c r="B16" t="inlineStr">
        <is>
          <t>2026/0077</t>
        </is>
      </c>
      <c r="C16" s="2" t="n">
        <v>46212</v>
      </c>
      <c r="D16" t="inlineStr">
        <is>
          <t>10%</t>
        </is>
      </c>
      <c r="E16" s="3" t="n">
        <v>180</v>
      </c>
      <c r="F16" s="3" t="n">
        <v>18</v>
      </c>
      <c r="H16" s="3" t="n"/>
      <c r="I16" t="inlineStr">
        <is>
          <t>stationery_F0077_multi.pdf</t>
        </is>
      </c>
    </row>
    <row r="17">
      <c r="A17" t="inlineStr">
        <is>
          <t>Papelería Imaginaria, S.A.</t>
        </is>
      </c>
      <c r="B17" t="inlineStr">
        <is>
          <t>2026/0077</t>
        </is>
      </c>
      <c r="C17" s="2" t="n">
        <v>46212</v>
      </c>
      <c r="D17" t="inlineStr">
        <is>
          <t>4%</t>
        </is>
      </c>
      <c r="E17" s="3" t="n">
        <v>747</v>
      </c>
      <c r="F17" s="3" t="n">
        <v>29.88</v>
      </c>
      <c r="H17" s="3" t="n"/>
      <c r="I17" t="inlineStr">
        <is>
          <t>stationery_F0077_multi.pdf</t>
        </is>
      </c>
    </row>
    <row r="18">
      <c r="A18" t="inlineStr">
        <is>
          <t>Ferretería Ficticia, S.L.</t>
        </is>
      </c>
      <c r="B18" t="inlineStr">
        <is>
          <t>F-2026-0118</t>
        </is>
      </c>
      <c r="C18" s="2" t="n">
        <v>46224</v>
      </c>
      <c r="D18" t="inlineStr">
        <is>
          <t>21%</t>
        </is>
      </c>
      <c r="E18" s="3" t="n">
        <v>278</v>
      </c>
      <c r="F18" s="3" t="n">
        <v>58.38</v>
      </c>
      <c r="H18" s="3" t="n"/>
      <c r="I18" t="inlineStr">
        <is>
          <t>hardware_F-2026-0118.pdf</t>
        </is>
      </c>
    </row>
    <row r="19">
      <c r="A19" t="inlineStr">
        <is>
          <t>Ferretería Ficticia, S.L.</t>
        </is>
      </c>
      <c r="B19" t="inlineStr">
        <is>
          <t>F-2026-0118</t>
        </is>
      </c>
      <c r="C19" s="2" t="n">
        <v>46224</v>
      </c>
      <c r="D19" t="inlineStr">
        <is>
          <t>10%</t>
        </is>
      </c>
      <c r="E19" s="3" t="n">
        <v>420</v>
      </c>
      <c r="F19" s="3" t="n">
        <v>42</v>
      </c>
      <c r="H19" s="3" t="n"/>
      <c r="I19" t="inlineStr">
        <is>
          <t>hardware_F-2026-0118.pdf</t>
        </is>
      </c>
    </row>
    <row r="20">
      <c r="A20" t="inlineStr">
        <is>
          <t>Distribuciones Imaginarias, S.A.</t>
        </is>
      </c>
      <c r="B20" t="inlineStr">
        <is>
          <t>B-5521</t>
        </is>
      </c>
      <c r="C20" s="2" t="n">
        <v>46251</v>
      </c>
      <c r="D20" t="inlineStr">
        <is>
          <t>21%</t>
        </is>
      </c>
      <c r="E20" s="3" t="n">
        <v>290</v>
      </c>
      <c r="F20" s="3" t="n">
        <v>60.9</v>
      </c>
      <c r="G20" t="inlineStr">
        <is>
          <t>5.2%</t>
        </is>
      </c>
      <c r="H20" s="3" t="n">
        <v>15.08</v>
      </c>
      <c r="I20" t="inlineStr">
        <is>
          <t>wholesale_B-5521.pdf</t>
        </is>
      </c>
    </row>
    <row r="21">
      <c r="A21" t="inlineStr">
        <is>
          <t>Distribuciones Imaginarias, S.A.</t>
        </is>
      </c>
      <c r="B21" t="inlineStr">
        <is>
          <t>B-5521</t>
        </is>
      </c>
      <c r="C21" s="2" t="n">
        <v>46251</v>
      </c>
      <c r="D21" t="inlineStr">
        <is>
          <t>10%</t>
        </is>
      </c>
      <c r="E21" s="3" t="n">
        <v>432</v>
      </c>
      <c r="F21" s="3" t="n">
        <v>43.2</v>
      </c>
      <c r="G21" t="inlineStr">
        <is>
          <t>1.4%</t>
        </is>
      </c>
      <c r="H21" s="3" t="n">
        <v>6.05</v>
      </c>
      <c r="I21" t="inlineStr">
        <is>
          <t>wholesale_B-5521.pdf</t>
        </is>
      </c>
    </row>
    <row r="22">
      <c r="A22" t="inlineStr">
        <is>
          <t>Distribuciones Imaginarias, S.A.</t>
        </is>
      </c>
      <c r="B22" t="inlineStr">
        <is>
          <t>B-5598</t>
        </is>
      </c>
      <c r="C22" s="2" t="n">
        <v>46283</v>
      </c>
      <c r="D22" t="inlineStr">
        <is>
          <t>21%</t>
        </is>
      </c>
      <c r="E22" s="3" t="n">
        <v>342</v>
      </c>
      <c r="F22" s="3" t="n">
        <v>71.81999999999999</v>
      </c>
      <c r="G22" t="inlineStr">
        <is>
          <t>5.2%</t>
        </is>
      </c>
      <c r="H22" s="3" t="n">
        <v>17.78</v>
      </c>
      <c r="I22" t="inlineStr">
        <is>
          <t>wholesale_B-5598.pdf</t>
        </is>
      </c>
    </row>
    <row r="23">
      <c r="A23" t="inlineStr">
        <is>
          <t>Ferretería Ficticia, S.L.</t>
        </is>
      </c>
      <c r="B23" t="inlineStr">
        <is>
          <t>F-2026-0204</t>
        </is>
      </c>
      <c r="C23" s="2" t="n">
        <v>46300</v>
      </c>
      <c r="D23" t="inlineStr">
        <is>
          <t>21%</t>
        </is>
      </c>
      <c r="E23" s="3" t="n">
        <v>126</v>
      </c>
      <c r="F23" s="3" t="n">
        <v>26.46</v>
      </c>
      <c r="H23" s="3" t="n"/>
      <c r="I23" t="inlineStr">
        <is>
          <t>hardware_F-2026-0204.pdf</t>
        </is>
      </c>
    </row>
    <row r="24">
      <c r="A24" t="inlineStr">
        <is>
          <t>Ferretería Ficticia, S.L.</t>
        </is>
      </c>
      <c r="B24" t="inlineStr">
        <is>
          <t>F-2026-0204</t>
        </is>
      </c>
      <c r="C24" s="2" t="n">
        <v>46300</v>
      </c>
      <c r="D24" t="inlineStr">
        <is>
          <t>10%</t>
        </is>
      </c>
      <c r="E24" s="3" t="n">
        <v>980</v>
      </c>
      <c r="F24" s="3" t="n">
        <v>98</v>
      </c>
      <c r="H24" s="3" t="n"/>
      <c r="I24" t="inlineStr">
        <is>
          <t>hardware_F-2026-0204.pdf</t>
        </is>
      </c>
    </row>
  </sheetData>
  <autoFilter ref="A1:I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6" customWidth="1" min="5" max="5"/>
    <col width="16" customWidth="1" min="6" max="6"/>
    <col width="14" customWidth="1" min="7" max="7"/>
  </cols>
  <sheetData>
    <row r="1" ht="24" customHeight="1">
      <c r="A1" s="1" t="inlineStr">
        <is>
          <t>Quarter</t>
        </is>
      </c>
      <c r="B1" s="1" t="inlineStr">
        <is>
          <t>VAT %</t>
        </is>
      </c>
      <c r="C1" s="1" t="inlineStr">
        <is>
          <t>Invoices</t>
        </is>
      </c>
      <c r="D1" s="1" t="inlineStr">
        <is>
          <t>To review</t>
        </is>
      </c>
      <c r="E1" s="1" t="inlineStr">
        <is>
          <t>Net amount</t>
        </is>
      </c>
      <c r="F1" s="1" t="inlineStr">
        <is>
          <t>VAT amount</t>
        </is>
      </c>
      <c r="G1" s="1" t="inlineStr">
        <is>
          <t>Surcharge</t>
        </is>
      </c>
    </row>
    <row r="2">
      <c r="A2" t="inlineStr">
        <is>
          <t>2026-T1</t>
        </is>
      </c>
      <c r="B2" t="inlineStr">
        <is>
          <t>21%</t>
        </is>
      </c>
      <c r="C2" t="n">
        <v>5</v>
      </c>
      <c r="D2" t="n">
        <v>0</v>
      </c>
      <c r="E2" s="3" t="n">
        <v>6372.6</v>
      </c>
      <c r="F2" s="3" t="n">
        <v>1338.25</v>
      </c>
      <c r="G2" s="3" t="n">
        <v>0</v>
      </c>
    </row>
    <row r="3">
      <c r="A3" s="13" t="inlineStr">
        <is>
          <t>2026-T1 total</t>
        </is>
      </c>
      <c r="B3" s="13" t="n"/>
      <c r="C3" s="13" t="n"/>
      <c r="D3" s="13" t="n"/>
      <c r="E3" s="15" t="n">
        <v>6372.6</v>
      </c>
      <c r="F3" s="15" t="n">
        <v>1338.25</v>
      </c>
      <c r="G3" s="15" t="n">
        <v>0</v>
      </c>
    </row>
    <row r="5">
      <c r="A5" t="inlineStr">
        <is>
          <t>2026-T2</t>
        </is>
      </c>
      <c r="B5" t="inlineStr">
        <is>
          <t>21%</t>
        </is>
      </c>
      <c r="C5" t="n">
        <v>5</v>
      </c>
      <c r="D5" t="n">
        <v>1</v>
      </c>
      <c r="E5" s="3" t="n">
        <v>7416.5</v>
      </c>
      <c r="F5" s="3" t="n">
        <v>1557.47</v>
      </c>
      <c r="G5" s="3" t="n">
        <v>0</v>
      </c>
    </row>
    <row r="6">
      <c r="A6" t="inlineStr">
        <is>
          <t>2026-T2</t>
        </is>
      </c>
      <c r="B6" t="inlineStr">
        <is>
          <t>10%</t>
        </is>
      </c>
      <c r="C6" t="n">
        <v>1</v>
      </c>
      <c r="D6" t="n">
        <v>0</v>
      </c>
      <c r="E6" s="3" t="n">
        <v>1285.9</v>
      </c>
      <c r="F6" s="3" t="n">
        <v>128.59</v>
      </c>
      <c r="G6" s="3" t="n">
        <v>0</v>
      </c>
    </row>
    <row r="7">
      <c r="A7" t="inlineStr">
        <is>
          <t>2026-T2</t>
        </is>
      </c>
      <c r="B7" t="inlineStr">
        <is>
          <t>4%</t>
        </is>
      </c>
      <c r="C7" t="n">
        <v>1</v>
      </c>
      <c r="D7" t="n">
        <v>0</v>
      </c>
      <c r="E7" s="3" t="n">
        <v>400.2</v>
      </c>
      <c r="F7" s="3" t="n">
        <v>16.01</v>
      </c>
      <c r="G7" s="3" t="n">
        <v>0</v>
      </c>
    </row>
    <row r="8">
      <c r="A8" s="13" t="inlineStr">
        <is>
          <t>2026-T2 total</t>
        </is>
      </c>
      <c r="B8" s="13" t="n"/>
      <c r="C8" s="13" t="n"/>
      <c r="D8" s="13" t="n"/>
      <c r="E8" s="15" t="n">
        <v>9102.6</v>
      </c>
      <c r="F8" s="15" t="n">
        <v>1702.07</v>
      </c>
      <c r="G8" s="15" t="n">
        <v>0</v>
      </c>
    </row>
    <row r="10">
      <c r="A10" t="inlineStr">
        <is>
          <t>2026-T3</t>
        </is>
      </c>
      <c r="B10" t="inlineStr">
        <is>
          <t>21%</t>
        </is>
      </c>
      <c r="C10" t="n">
        <v>4</v>
      </c>
      <c r="D10" t="n">
        <v>0</v>
      </c>
      <c r="E10" s="3" t="n">
        <v>1252</v>
      </c>
      <c r="F10" s="3" t="n">
        <v>262.92</v>
      </c>
      <c r="G10" s="3" t="n">
        <v>32.86</v>
      </c>
    </row>
    <row r="11">
      <c r="A11" t="inlineStr">
        <is>
          <t>2026-T3</t>
        </is>
      </c>
      <c r="B11" t="inlineStr">
        <is>
          <t>10%</t>
        </is>
      </c>
      <c r="C11" t="n">
        <v>3</v>
      </c>
      <c r="D11" t="n">
        <v>0</v>
      </c>
      <c r="E11" s="3" t="n">
        <v>1032</v>
      </c>
      <c r="F11" s="3" t="n">
        <v>103.2</v>
      </c>
      <c r="G11" s="3" t="n">
        <v>6.05</v>
      </c>
    </row>
    <row r="12">
      <c r="A12" t="inlineStr">
        <is>
          <t>2026-T3</t>
        </is>
      </c>
      <c r="B12" t="inlineStr">
        <is>
          <t>4%</t>
        </is>
      </c>
      <c r="C12" t="n">
        <v>1</v>
      </c>
      <c r="D12" t="n">
        <v>0</v>
      </c>
      <c r="E12" s="3" t="n">
        <v>747</v>
      </c>
      <c r="F12" s="3" t="n">
        <v>29.88</v>
      </c>
      <c r="G12" s="3" t="n">
        <v>0</v>
      </c>
    </row>
    <row r="13">
      <c r="A13" s="13" t="inlineStr">
        <is>
          <t>2026-T3 total</t>
        </is>
      </c>
      <c r="B13" s="13" t="n"/>
      <c r="C13" s="13" t="n"/>
      <c r="D13" s="13" t="n"/>
      <c r="E13" s="15" t="n">
        <v>3031</v>
      </c>
      <c r="F13" s="15" t="n">
        <v>396</v>
      </c>
      <c r="G13" s="15" t="n">
        <v>38.91</v>
      </c>
    </row>
    <row r="15">
      <c r="A15" t="inlineStr">
        <is>
          <t>2026-T4</t>
        </is>
      </c>
      <c r="B15" t="inlineStr">
        <is>
          <t>21%</t>
        </is>
      </c>
      <c r="C15" t="n">
        <v>1</v>
      </c>
      <c r="D15" t="n">
        <v>0</v>
      </c>
      <c r="E15" s="3" t="n">
        <v>126</v>
      </c>
      <c r="F15" s="3" t="n">
        <v>26.46</v>
      </c>
      <c r="G15" s="3" t="n">
        <v>0</v>
      </c>
    </row>
    <row r="16">
      <c r="A16" t="inlineStr">
        <is>
          <t>2026-T4</t>
        </is>
      </c>
      <c r="B16" t="inlineStr">
        <is>
          <t>10%</t>
        </is>
      </c>
      <c r="C16" t="n">
        <v>1</v>
      </c>
      <c r="D16" t="n">
        <v>0</v>
      </c>
      <c r="E16" s="3" t="n">
        <v>980</v>
      </c>
      <c r="F16" s="3" t="n">
        <v>98</v>
      </c>
      <c r="G16" s="3" t="n">
        <v>0</v>
      </c>
    </row>
    <row r="17">
      <c r="A17" s="13" t="inlineStr">
        <is>
          <t>2026-T4 total</t>
        </is>
      </c>
      <c r="B17" s="13" t="n"/>
      <c r="C17" s="13" t="n"/>
      <c r="D17" s="13" t="n"/>
      <c r="E17" s="15" t="n">
        <v>1106</v>
      </c>
      <c r="F17" s="15" t="n">
        <v>124.46</v>
      </c>
      <c r="G17" s="15" t="n">
        <v>0</v>
      </c>
    </row>
    <row r="19">
      <c r="A19" s="16" t="inlineStr">
        <is>
          <t>ALL</t>
        </is>
      </c>
      <c r="B19" s="16" t="n"/>
      <c r="C19" s="16" t="n"/>
      <c r="D19" s="16" t="n"/>
      <c r="E19" s="17" t="n">
        <v>19612.2</v>
      </c>
      <c r="F19" s="17" t="n">
        <v>3560.78</v>
      </c>
      <c r="G19" s="17" t="n">
        <v>38.91</v>
      </c>
    </row>
    <row r="21">
      <c r="A21" t="inlineStr">
        <is>
          <t>Input VAT by invoice date. Duplicates excluded; invoices to review included.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0" customWidth="1" min="4" max="4"/>
    <col width="18" customWidth="1" min="5" max="5"/>
    <col width="16" customWidth="1" min="6" max="6"/>
  </cols>
  <sheetData>
    <row r="1" ht="24" customHeight="1">
      <c r="A1" s="1" t="inlineStr">
        <is>
          <t>Year</t>
        </is>
      </c>
      <c r="B1" s="1" t="inlineStr">
        <is>
          <t>Supplier</t>
        </is>
      </c>
      <c r="C1" s="1" t="inlineStr">
        <is>
          <t>Tax ID</t>
        </is>
      </c>
      <c r="D1" s="1" t="inlineStr">
        <is>
          <t>Invoices</t>
        </is>
      </c>
      <c r="E1" s="1" t="inlineStr">
        <is>
          <t>Total incl. VAT</t>
        </is>
      </c>
      <c r="F1" s="1" t="inlineStr">
        <is>
          <t>Over threshold</t>
        </is>
      </c>
    </row>
    <row r="2">
      <c r="A2" s="18" t="n">
        <v>2026</v>
      </c>
      <c r="B2" s="18" t="inlineStr">
        <is>
          <t>Marta Ficticia Ruiz</t>
        </is>
      </c>
      <c r="C2" s="18" t="inlineStr">
        <is>
          <t>12345678Z</t>
        </is>
      </c>
      <c r="D2" s="18" t="n">
        <v>2</v>
      </c>
      <c r="E2" s="19" t="n">
        <v>4779.5</v>
      </c>
      <c r="F2" s="20" t="inlineStr">
        <is>
          <t>YES</t>
        </is>
      </c>
    </row>
    <row r="3">
      <c r="A3" s="18" t="n">
        <v>2026</v>
      </c>
      <c r="B3" s="18" t="inlineStr">
        <is>
          <t>Reformas Escaneadas, S.L.</t>
        </is>
      </c>
      <c r="C3" s="18" t="inlineStr">
        <is>
          <t>B55443329</t>
        </is>
      </c>
      <c r="D3" s="18" t="n">
        <v>1</v>
      </c>
      <c r="E3" s="19" t="n">
        <v>4162.4</v>
      </c>
      <c r="F3" s="20" t="inlineStr">
        <is>
          <t>YES</t>
        </is>
      </c>
    </row>
    <row r="4">
      <c r="A4" s="18" t="n">
        <v>2026</v>
      </c>
      <c r="B4" s="18" t="inlineStr">
        <is>
          <t>Talleres Inventados, S.L.</t>
        </is>
      </c>
      <c r="C4" s="18" t="inlineStr">
        <is>
          <t>B13579248</t>
        </is>
      </c>
      <c r="D4" s="18" t="n">
        <v>2</v>
      </c>
      <c r="E4" s="19" t="n">
        <v>3642.71</v>
      </c>
      <c r="F4" s="20" t="inlineStr">
        <is>
          <t>YES</t>
        </is>
      </c>
    </row>
    <row r="5">
      <c r="A5" s="18" t="n">
        <v>2026</v>
      </c>
      <c r="B5" s="18" t="inlineStr">
        <is>
          <t>Papelería Imaginaria, S.A.</t>
        </is>
      </c>
      <c r="C5" s="18" t="inlineStr">
        <is>
          <t>A24681355</t>
        </is>
      </c>
      <c r="D5" s="18" t="n">
        <v>3</v>
      </c>
      <c r="E5" s="19" t="n">
        <v>3219.4</v>
      </c>
      <c r="F5" s="20" t="inlineStr">
        <is>
          <t>YES</t>
        </is>
      </c>
    </row>
    <row r="6">
      <c r="A6" t="n">
        <v>2026</v>
      </c>
      <c r="B6" t="inlineStr">
        <is>
          <t>Consultoría Falsa, S.L.P.</t>
        </is>
      </c>
      <c r="C6" t="inlineStr">
        <is>
          <t>B99887762</t>
        </is>
      </c>
      <c r="D6" t="n">
        <v>1</v>
      </c>
      <c r="E6" s="3" t="n">
        <v>2069.1</v>
      </c>
      <c r="F6" s="5" t="n"/>
    </row>
    <row r="7">
      <c r="A7" t="n">
        <v>2026</v>
      </c>
      <c r="B7" t="inlineStr">
        <is>
          <t>Suministros Ficticios, S.L.</t>
        </is>
      </c>
      <c r="C7" t="inlineStr">
        <is>
          <t>B87654323</t>
        </is>
      </c>
      <c r="D7" t="n">
        <v>4</v>
      </c>
      <c r="E7" s="3" t="n">
        <v>2031.11</v>
      </c>
      <c r="F7" s="5" t="n"/>
    </row>
    <row r="8">
      <c r="A8" t="n">
        <v>2026</v>
      </c>
      <c r="B8" t="inlineStr">
        <is>
          <t>Ferretería Ficticia, S.L.</t>
        </is>
      </c>
      <c r="C8" t="inlineStr">
        <is>
          <t>B22334452</t>
        </is>
      </c>
      <c r="D8" t="n">
        <v>2</v>
      </c>
      <c r="E8" s="3" t="n">
        <v>2028.84</v>
      </c>
      <c r="F8" s="5" t="n"/>
    </row>
    <row r="9">
      <c r="A9" t="n">
        <v>2026</v>
      </c>
      <c r="B9" t="inlineStr">
        <is>
          <t>Distribuciones Imaginarias, S.A.</t>
        </is>
      </c>
      <c r="C9" t="inlineStr">
        <is>
          <t>A31415920</t>
        </is>
      </c>
      <c r="D9" t="n">
        <v>2</v>
      </c>
      <c r="E9" s="3" t="n">
        <v>1278.83</v>
      </c>
      <c r="F9" s="5" t="n"/>
    </row>
    <row r="11">
      <c r="A11" t="inlineStr">
        <is>
          <t>Modelo 347 threshold: 3,005.06 EUR per supplier and year, VAT included, IRPF not deducted. Duplicates are excluded.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File</t>
        </is>
      </c>
      <c r="B1" s="1" t="inlineStr">
        <is>
          <t>Reason</t>
        </is>
      </c>
    </row>
    <row r="2">
      <c r="A2" t="inlineStr">
        <is>
          <t>No issues: every PDF could be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2026-10-15T22:02:30Z</dcterms:created>
  <dcterms:modified xsi:type="dcterms:W3CDTF">2026-10-15T22:02:30Z</dcterms:modified>
</cp:coreProperties>
</file>